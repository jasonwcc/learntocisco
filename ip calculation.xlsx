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kid-my.sharepoint.com/personal/jason_wong_trainocate_com/Documents/"/>
    </mc:Choice>
  </mc:AlternateContent>
  <xr:revisionPtr revIDLastSave="388" documentId="8_{6B565501-D6BF-483D-B22B-39D2C1A4B20C}" xr6:coauthVersionLast="47" xr6:coauthVersionMax="47" xr10:uidLastSave="{04EB4F1B-ADB7-47B5-9712-4DD975425AFD}"/>
  <bookViews>
    <workbookView xWindow="-28920" yWindow="-120" windowWidth="29040" windowHeight="15720" activeTab="5" xr2:uid="{99249A31-A40F-4027-A730-B915CE8E91E6}"/>
  </bookViews>
  <sheets>
    <sheet name="conversion" sheetId="1" r:id="rId1"/>
    <sheet name="Netmask" sheetId="2" r:id="rId2"/>
    <sheet name="Wildcard-or-broadcast" sheetId="3" r:id="rId3"/>
    <sheet name="Calc" sheetId="4" r:id="rId4"/>
    <sheet name="Subnetting" sheetId="5" r:id="rId5"/>
    <sheet name="VLS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6" l="1"/>
  <c r="B28" i="4"/>
  <c r="B19" i="4"/>
</calcChain>
</file>

<file path=xl/sharedStrings.xml><?xml version="1.0" encoding="utf-8"?>
<sst xmlns="http://schemas.openxmlformats.org/spreadsheetml/2006/main" count="286" uniqueCount="169">
  <si>
    <t>IP</t>
  </si>
  <si>
    <t>a.b.c.d</t>
  </si>
  <si>
    <t>0.0.0.0 - 255.255.255.255</t>
  </si>
  <si>
    <t>8b.8b.8b.8b  = 32 bits</t>
  </si>
  <si>
    <t>2^7</t>
  </si>
  <si>
    <t>2^5</t>
  </si>
  <si>
    <t>2^6</t>
  </si>
  <si>
    <t>2^4</t>
  </si>
  <si>
    <t>2^3</t>
  </si>
  <si>
    <t>2^2</t>
  </si>
  <si>
    <t>2^1</t>
  </si>
  <si>
    <t>2^0</t>
  </si>
  <si>
    <t>Decimal</t>
  </si>
  <si>
    <t>Netmask</t>
  </si>
  <si>
    <t>Broadcast</t>
  </si>
  <si>
    <t>x`</t>
  </si>
  <si>
    <t>..</t>
  </si>
  <si>
    <t>netmask:</t>
  </si>
  <si>
    <t>255.255.255.0</t>
  </si>
  <si>
    <t>/8 255.0.0.0</t>
  </si>
  <si>
    <t>/16 255.255.0.0</t>
  </si>
  <si>
    <t>/24 255.255.255.0</t>
  </si>
  <si>
    <t xml:space="preserve">N.C </t>
  </si>
  <si>
    <t>8n.8n.8n.8c</t>
  </si>
  <si>
    <t>Network ID:</t>
  </si>
  <si>
    <t>Last usable IP:</t>
  </si>
  <si>
    <t>Broadcast IP:</t>
  </si>
  <si>
    <t>First usable IP:</t>
  </si>
  <si>
    <t>192.168.100.0</t>
  </si>
  <si>
    <t>given                        192.168.100.100/24 to PC</t>
  </si>
  <si>
    <t>192.168.100.255</t>
  </si>
  <si>
    <t>all C's turn to one</t>
  </si>
  <si>
    <t>all C's turn to zero</t>
  </si>
  <si>
    <t>ANDing</t>
  </si>
  <si>
    <t>192.168.100.1</t>
  </si>
  <si>
    <t>192.168.100.254</t>
  </si>
  <si>
    <t>given                        192.168.100.100/16 to PC</t>
  </si>
  <si>
    <t>255.255.0.0</t>
  </si>
  <si>
    <t>8n.8n.8c.8c</t>
  </si>
  <si>
    <t>192.168.0.0</t>
  </si>
  <si>
    <t>192.168.0.1</t>
  </si>
  <si>
    <t>192.168.255.255</t>
  </si>
  <si>
    <t>192.168.255.254</t>
  </si>
  <si>
    <t>How many usable Ips/clients</t>
  </si>
  <si>
    <t>255.255.128.0</t>
  </si>
  <si>
    <t>8n.8n.1n 7c.8c</t>
  </si>
  <si>
    <t>192.168.100.100--&gt;</t>
  </si>
  <si>
    <t>255.255.128.0--&gt;</t>
  </si>
  <si>
    <t>1100 0000</t>
  </si>
  <si>
    <t>1010 1000</t>
  </si>
  <si>
    <t>0110 0100</t>
  </si>
  <si>
    <t>1111 1111</t>
  </si>
  <si>
    <t>1000 0000</t>
  </si>
  <si>
    <t>0000 0000</t>
  </si>
  <si>
    <t xml:space="preserve">1100 0000 </t>
  </si>
  <si>
    <t xml:space="preserve">0000 0000 </t>
  </si>
  <si>
    <t>nnnn nnnn</t>
  </si>
  <si>
    <t>nccc cccc</t>
  </si>
  <si>
    <t>cccc cccc</t>
  </si>
  <si>
    <t>Network ID (AND)</t>
  </si>
  <si>
    <t>Broadcast IP</t>
  </si>
  <si>
    <t>0111 1111</t>
  </si>
  <si>
    <t>192.168.127.255</t>
  </si>
  <si>
    <t>192.168.127.254</t>
  </si>
  <si>
    <t xml:space="preserve">given                        </t>
  </si>
  <si>
    <t>192.168.100.100/17 to PC</t>
  </si>
  <si>
    <t>given  to PC</t>
  </si>
  <si>
    <t>10.255.250.0/19</t>
  </si>
  <si>
    <t>255.255.224.0</t>
  </si>
  <si>
    <t>8n.8n  .3n 5c.8c</t>
  </si>
  <si>
    <t>10.255.250.0--&gt;</t>
  </si>
  <si>
    <t>255.255.224.0--&gt;</t>
  </si>
  <si>
    <t>1111 1010</t>
  </si>
  <si>
    <t>1110 0000</t>
  </si>
  <si>
    <t>10.255.224.0</t>
  </si>
  <si>
    <t>10.255.224.1</t>
  </si>
  <si>
    <t>nnnc cccc</t>
  </si>
  <si>
    <t>10.255.255.255</t>
  </si>
  <si>
    <t>10.255.255.254</t>
  </si>
  <si>
    <t xml:space="preserve">number of clients : </t>
  </si>
  <si>
    <t>clients</t>
  </si>
  <si>
    <t>1. Formula</t>
  </si>
  <si>
    <t>2^c-2 = 100</t>
  </si>
  <si>
    <t>2^c = 102</t>
  </si>
  <si>
    <t>C = 7</t>
  </si>
  <si>
    <t>N = 32 - 7</t>
  </si>
  <si>
    <t>N = 25</t>
  </si>
  <si>
    <t>8n.8n.8n.1n 7c</t>
  </si>
  <si>
    <t>2. N-C Table</t>
  </si>
  <si>
    <t>172.16.0.</t>
  </si>
  <si>
    <t>255.255.255.128</t>
  </si>
  <si>
    <t xml:space="preserve">given network </t>
  </si>
  <si>
    <t>172.16.0.0</t>
  </si>
  <si>
    <t>172.16.0.255</t>
  </si>
  <si>
    <t>172.16.0.127</t>
  </si>
  <si>
    <t>172.16.0.1</t>
  </si>
  <si>
    <t>172.16.0.126</t>
  </si>
  <si>
    <t>172.16.0.100/16</t>
  </si>
  <si>
    <t xml:space="preserve">each subnet requires </t>
  </si>
  <si>
    <t>4 subnets</t>
  </si>
  <si>
    <t>Subnet1</t>
  </si>
  <si>
    <t>Subnet2</t>
  </si>
  <si>
    <t>172.16.0.128</t>
  </si>
  <si>
    <t>172.16.0.129</t>
  </si>
  <si>
    <t>172.16.0.254</t>
  </si>
  <si>
    <t>Subnet3</t>
  </si>
  <si>
    <t>172.16.1.0</t>
  </si>
  <si>
    <t>172.16.1.1</t>
  </si>
  <si>
    <t>172.16.1.127</t>
  </si>
  <si>
    <t>172.16.1.126</t>
  </si>
  <si>
    <t xml:space="preserve">Given </t>
  </si>
  <si>
    <t>Requirements:</t>
  </si>
  <si>
    <t>Operation:</t>
  </si>
  <si>
    <t>Sales</t>
  </si>
  <si>
    <t>Finance</t>
  </si>
  <si>
    <t>192.168.100.0/24</t>
  </si>
  <si>
    <t>2. N-C table</t>
  </si>
  <si>
    <t>VLSM rules of thumb</t>
  </si>
  <si>
    <t>3. One direction - start small / big</t>
  </si>
  <si>
    <t xml:space="preserve">Dept: </t>
  </si>
  <si>
    <t>2^c-2 = 5</t>
  </si>
  <si>
    <t>2^c = 7</t>
  </si>
  <si>
    <t>C</t>
  </si>
  <si>
    <t>N = 32 - 3</t>
  </si>
  <si>
    <t>8n.8n.8n.5n 3c</t>
  </si>
  <si>
    <t>nnnn nccc</t>
  </si>
  <si>
    <t>255.255.255.248</t>
  </si>
  <si>
    <t xml:space="preserve">1. Minimize waste IP </t>
  </si>
  <si>
    <t>2. Must not overlap the subnets</t>
  </si>
  <si>
    <t>.0</t>
  </si>
  <si>
    <t>NID</t>
  </si>
  <si>
    <t>BIP</t>
  </si>
  <si>
    <t>0000 0111</t>
  </si>
  <si>
    <t>192.168.100.7</t>
  </si>
  <si>
    <t>192.168.100.6</t>
  </si>
  <si>
    <t>--&gt;0</t>
  </si>
  <si>
    <t>--&gt;7</t>
  </si>
  <si>
    <t>192.168.100.0/29</t>
  </si>
  <si>
    <t>Dept:</t>
  </si>
  <si>
    <t>2^c-2 = 20</t>
  </si>
  <si>
    <t>2^c = 22</t>
  </si>
  <si>
    <t>C = 5</t>
  </si>
  <si>
    <t>N = 32 - 5 = 27</t>
  </si>
  <si>
    <t>8n.8n.8n.3n 5c</t>
  </si>
  <si>
    <t>255.255.255.224</t>
  </si>
  <si>
    <t>subnet 1</t>
  </si>
  <si>
    <t>0001 1111</t>
  </si>
  <si>
    <t>--&gt; 0</t>
  </si>
  <si>
    <t>--&gt; 31</t>
  </si>
  <si>
    <t>can we start with 8?</t>
  </si>
  <si>
    <t>0000 1000</t>
  </si>
  <si>
    <t>&lt;--8</t>
  </si>
  <si>
    <t>Potential, should look at next N</t>
  </si>
  <si>
    <t>0010 0000</t>
  </si>
  <si>
    <t>0011 1111</t>
  </si>
  <si>
    <t>--&gt;32</t>
  </si>
  <si>
    <t>--&gt;63</t>
  </si>
  <si>
    <t>192.168.100.32</t>
  </si>
  <si>
    <t>192.168.100.63</t>
  </si>
  <si>
    <t>192.168.100.33</t>
  </si>
  <si>
    <t>192.168.100.62</t>
  </si>
  <si>
    <t>2^c-2 = 30</t>
  </si>
  <si>
    <t>2^c=32</t>
  </si>
  <si>
    <t>c=5</t>
  </si>
  <si>
    <t>n=27</t>
  </si>
  <si>
    <t>192.168.100.64</t>
  </si>
  <si>
    <t>192.168.100.95</t>
  </si>
  <si>
    <t>192.168.100.65</t>
  </si>
  <si>
    <t>192.168.100.94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</si>
</sst>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quotePrefix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6044-558B-4F09-8266-A4E359F8A748}">
  <dimension ref="A1:J22"/>
  <sheetViews>
    <sheetView zoomScale="265" zoomScaleNormal="265" workbookViewId="0">
      <selection activeCell="A6" sqref="A6"/>
    </sheetView>
  </sheetViews>
  <sheetFormatPr defaultRowHeight="15" x14ac:dyDescent="0.25"/>
  <cols>
    <col min="3" max="3" width="9.5703125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</row>
    <row r="6" spans="1:10" x14ac:dyDescent="0.25">
      <c r="A6" t="s">
        <v>4</v>
      </c>
      <c r="B6" t="s">
        <v>6</v>
      </c>
      <c r="C6" t="s">
        <v>5</v>
      </c>
      <c r="D6" t="s">
        <v>7</v>
      </c>
      <c r="E6" t="s">
        <v>8</v>
      </c>
      <c r="F6" t="s">
        <v>9</v>
      </c>
      <c r="G6" t="s">
        <v>10</v>
      </c>
      <c r="H6" t="s">
        <v>11</v>
      </c>
    </row>
    <row r="7" spans="1:10" x14ac:dyDescent="0.25">
      <c r="A7">
        <v>128</v>
      </c>
      <c r="B7">
        <v>64</v>
      </c>
      <c r="C7">
        <v>32</v>
      </c>
      <c r="D7">
        <v>16</v>
      </c>
      <c r="E7">
        <v>8</v>
      </c>
      <c r="F7">
        <v>4</v>
      </c>
      <c r="G7">
        <v>2</v>
      </c>
      <c r="H7">
        <v>1</v>
      </c>
      <c r="I7" t="s">
        <v>12</v>
      </c>
      <c r="J7" t="s">
        <v>13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7</v>
      </c>
    </row>
    <row r="9" spans="1:10" x14ac:dyDescent="0.25">
      <c r="A9">
        <v>0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12</v>
      </c>
    </row>
    <row r="10" spans="1:10" x14ac:dyDescent="0.25">
      <c r="A10">
        <v>0</v>
      </c>
      <c r="B10">
        <v>1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100</v>
      </c>
    </row>
    <row r="11" spans="1:10" x14ac:dyDescent="0.25">
      <c r="A11">
        <v>1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200</v>
      </c>
    </row>
    <row r="12" spans="1:10" x14ac:dyDescent="0.25">
      <c r="I12">
        <v>10</v>
      </c>
    </row>
    <row r="13" spans="1:10" x14ac:dyDescent="0.25">
      <c r="I13">
        <v>20</v>
      </c>
    </row>
    <row r="14" spans="1:10" x14ac:dyDescent="0.25">
      <c r="I14">
        <v>30</v>
      </c>
    </row>
    <row r="15" spans="1:10" x14ac:dyDescent="0.25">
      <c r="I15">
        <v>40</v>
      </c>
    </row>
    <row r="16" spans="1:10" x14ac:dyDescent="0.25">
      <c r="I16">
        <v>50</v>
      </c>
    </row>
    <row r="17" spans="9:9" x14ac:dyDescent="0.25">
      <c r="I17">
        <v>60</v>
      </c>
    </row>
    <row r="18" spans="9:9" x14ac:dyDescent="0.25">
      <c r="I18">
        <v>70</v>
      </c>
    </row>
    <row r="19" spans="9:9" x14ac:dyDescent="0.25">
      <c r="I19">
        <v>80</v>
      </c>
    </row>
    <row r="20" spans="9:9" x14ac:dyDescent="0.25">
      <c r="I20" t="s">
        <v>16</v>
      </c>
    </row>
    <row r="21" spans="9:9" x14ac:dyDescent="0.25">
      <c r="I21" t="s">
        <v>16</v>
      </c>
    </row>
    <row r="22" spans="9:9" x14ac:dyDescent="0.25">
      <c r="I22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0878-753D-4AE7-938F-4C635CFED091}">
  <dimension ref="A1:I11"/>
  <sheetViews>
    <sheetView zoomScale="250" zoomScaleNormal="250" workbookViewId="0">
      <selection activeCell="G13" sqref="G13"/>
    </sheetView>
  </sheetViews>
  <sheetFormatPr defaultRowHeight="15" x14ac:dyDescent="0.25"/>
  <sheetData>
    <row r="1" spans="1:9" x14ac:dyDescent="0.25">
      <c r="A1" t="s">
        <v>4</v>
      </c>
      <c r="B1" t="s">
        <v>6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9" x14ac:dyDescent="0.25">
      <c r="A2">
        <v>128</v>
      </c>
      <c r="B2">
        <v>64</v>
      </c>
      <c r="C2">
        <v>32</v>
      </c>
      <c r="D2">
        <v>16</v>
      </c>
      <c r="E2">
        <v>8</v>
      </c>
      <c r="F2">
        <v>4</v>
      </c>
      <c r="G2">
        <v>2</v>
      </c>
      <c r="H2">
        <v>1</v>
      </c>
      <c r="I2" t="s">
        <v>15</v>
      </c>
    </row>
    <row r="3" spans="1:9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128</v>
      </c>
    </row>
    <row r="5" spans="1:9" x14ac:dyDescent="0.25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192</v>
      </c>
    </row>
    <row r="6" spans="1:9" x14ac:dyDescent="0.25">
      <c r="A6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224</v>
      </c>
    </row>
    <row r="7" spans="1:9" x14ac:dyDescent="0.25">
      <c r="A7">
        <v>1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240</v>
      </c>
    </row>
    <row r="8" spans="1:9" x14ac:dyDescent="0.25">
      <c r="A8">
        <v>1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248</v>
      </c>
    </row>
    <row r="9" spans="1:9" x14ac:dyDescent="0.2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252</v>
      </c>
    </row>
    <row r="10" spans="1:9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254</v>
      </c>
    </row>
    <row r="11" spans="1:9" x14ac:dyDescent="0.2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BD15-CC56-4AF4-8BA1-27022A1D9103}">
  <dimension ref="A1:I11"/>
  <sheetViews>
    <sheetView zoomScale="280" zoomScaleNormal="280" workbookViewId="0">
      <selection activeCell="B2" sqref="B2"/>
    </sheetView>
  </sheetViews>
  <sheetFormatPr defaultRowHeight="15" x14ac:dyDescent="0.25"/>
  <sheetData>
    <row r="1" spans="1:9" x14ac:dyDescent="0.25">
      <c r="A1" t="s">
        <v>4</v>
      </c>
      <c r="B1" t="s">
        <v>6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9" x14ac:dyDescent="0.25">
      <c r="A2">
        <v>128</v>
      </c>
      <c r="B2">
        <v>64</v>
      </c>
      <c r="C2">
        <v>32</v>
      </c>
      <c r="D2">
        <v>16</v>
      </c>
      <c r="E2">
        <v>8</v>
      </c>
      <c r="F2">
        <v>4</v>
      </c>
      <c r="G2">
        <v>2</v>
      </c>
      <c r="H2">
        <v>1</v>
      </c>
      <c r="I2" t="s">
        <v>14</v>
      </c>
    </row>
    <row r="3" spans="1:9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255</v>
      </c>
    </row>
    <row r="4" spans="1:9" x14ac:dyDescent="0.25">
      <c r="A4">
        <v>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127</v>
      </c>
    </row>
    <row r="5" spans="1:9" x14ac:dyDescent="0.25">
      <c r="A5">
        <v>0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63</v>
      </c>
    </row>
    <row r="6" spans="1:9" x14ac:dyDescent="0.25">
      <c r="A6">
        <v>0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31</v>
      </c>
    </row>
    <row r="7" spans="1:9" x14ac:dyDescent="0.25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  <c r="I7">
        <v>15</v>
      </c>
    </row>
    <row r="8" spans="1:9" x14ac:dyDescent="0.25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7</v>
      </c>
    </row>
    <row r="9" spans="1:9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3</v>
      </c>
    </row>
    <row r="10" spans="1:9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2083-73DF-4723-9221-EA29FC843ED5}">
  <dimension ref="A1:F49"/>
  <sheetViews>
    <sheetView topLeftCell="A32" zoomScale="235" zoomScaleNormal="235" workbookViewId="0">
      <selection activeCell="C39" sqref="C39:C42"/>
    </sheetView>
  </sheetViews>
  <sheetFormatPr defaultRowHeight="15" x14ac:dyDescent="0.25"/>
  <cols>
    <col min="1" max="1" width="26.28515625" customWidth="1"/>
    <col min="2" max="2" width="15.42578125" customWidth="1"/>
    <col min="3" max="6" width="13.85546875" customWidth="1"/>
  </cols>
  <sheetData>
    <row r="1" spans="1:5" x14ac:dyDescent="0.25">
      <c r="A1" t="s">
        <v>29</v>
      </c>
      <c r="E1" s="2" t="s">
        <v>19</v>
      </c>
    </row>
    <row r="2" spans="1:5" x14ac:dyDescent="0.25">
      <c r="A2" t="s">
        <v>17</v>
      </c>
      <c r="B2" t="s">
        <v>18</v>
      </c>
      <c r="E2" t="s">
        <v>20</v>
      </c>
    </row>
    <row r="3" spans="1:5" x14ac:dyDescent="0.25">
      <c r="A3" t="s">
        <v>22</v>
      </c>
      <c r="B3" t="s">
        <v>23</v>
      </c>
      <c r="E3" t="s">
        <v>21</v>
      </c>
    </row>
    <row r="4" spans="1:5" x14ac:dyDescent="0.25">
      <c r="A4" t="s">
        <v>24</v>
      </c>
      <c r="B4" t="s">
        <v>28</v>
      </c>
      <c r="C4" t="s">
        <v>32</v>
      </c>
    </row>
    <row r="5" spans="1:5" x14ac:dyDescent="0.25">
      <c r="A5" t="s">
        <v>27</v>
      </c>
      <c r="B5" t="s">
        <v>34</v>
      </c>
    </row>
    <row r="6" spans="1:5" x14ac:dyDescent="0.25">
      <c r="A6" t="s">
        <v>25</v>
      </c>
      <c r="B6" t="s">
        <v>35</v>
      </c>
    </row>
    <row r="7" spans="1:5" x14ac:dyDescent="0.25">
      <c r="A7" t="s">
        <v>26</v>
      </c>
      <c r="B7" t="s">
        <v>30</v>
      </c>
      <c r="C7" t="s">
        <v>31</v>
      </c>
    </row>
    <row r="10" spans="1:5" x14ac:dyDescent="0.25">
      <c r="A10" t="s">
        <v>33</v>
      </c>
    </row>
    <row r="12" spans="1:5" x14ac:dyDescent="0.25">
      <c r="A12" t="s">
        <v>36</v>
      </c>
    </row>
    <row r="13" spans="1:5" x14ac:dyDescent="0.25">
      <c r="A13" t="s">
        <v>17</v>
      </c>
      <c r="B13" t="s">
        <v>37</v>
      </c>
    </row>
    <row r="14" spans="1:5" x14ac:dyDescent="0.25">
      <c r="A14" t="s">
        <v>22</v>
      </c>
      <c r="B14" t="s">
        <v>38</v>
      </c>
    </row>
    <row r="15" spans="1:5" x14ac:dyDescent="0.25">
      <c r="A15" t="s">
        <v>24</v>
      </c>
      <c r="B15" t="s">
        <v>39</v>
      </c>
      <c r="C15" t="s">
        <v>32</v>
      </c>
    </row>
    <row r="16" spans="1:5" x14ac:dyDescent="0.25">
      <c r="A16" t="s">
        <v>27</v>
      </c>
      <c r="B16" t="s">
        <v>40</v>
      </c>
    </row>
    <row r="17" spans="1:5" x14ac:dyDescent="0.25">
      <c r="A17" t="s">
        <v>25</v>
      </c>
      <c r="B17" t="s">
        <v>42</v>
      </c>
    </row>
    <row r="18" spans="1:5" x14ac:dyDescent="0.25">
      <c r="A18" t="s">
        <v>26</v>
      </c>
      <c r="B18" t="s">
        <v>41</v>
      </c>
      <c r="C18" t="s">
        <v>31</v>
      </c>
    </row>
    <row r="19" spans="1:5" x14ac:dyDescent="0.25">
      <c r="A19" t="s">
        <v>43</v>
      </c>
      <c r="B19">
        <f>2^16-2</f>
        <v>65534</v>
      </c>
    </row>
    <row r="21" spans="1:5" x14ac:dyDescent="0.25">
      <c r="A21" t="s">
        <v>64</v>
      </c>
      <c r="B21" t="s">
        <v>65</v>
      </c>
    </row>
    <row r="22" spans="1:5" x14ac:dyDescent="0.25">
      <c r="A22" t="s">
        <v>22</v>
      </c>
      <c r="B22" t="s">
        <v>45</v>
      </c>
    </row>
    <row r="23" spans="1:5" x14ac:dyDescent="0.25">
      <c r="A23" t="s">
        <v>17</v>
      </c>
      <c r="B23" t="s">
        <v>44</v>
      </c>
    </row>
    <row r="24" spans="1:5" x14ac:dyDescent="0.25">
      <c r="A24" t="s">
        <v>24</v>
      </c>
      <c r="B24" t="s">
        <v>39</v>
      </c>
      <c r="C24" t="s">
        <v>32</v>
      </c>
    </row>
    <row r="25" spans="1:5" x14ac:dyDescent="0.25">
      <c r="A25" t="s">
        <v>27</v>
      </c>
      <c r="B25" t="s">
        <v>40</v>
      </c>
    </row>
    <row r="26" spans="1:5" x14ac:dyDescent="0.25">
      <c r="A26" t="s">
        <v>25</v>
      </c>
      <c r="B26" t="s">
        <v>63</v>
      </c>
    </row>
    <row r="27" spans="1:5" x14ac:dyDescent="0.25">
      <c r="A27" t="s">
        <v>26</v>
      </c>
      <c r="B27" t="s">
        <v>62</v>
      </c>
      <c r="C27" t="s">
        <v>31</v>
      </c>
    </row>
    <row r="28" spans="1:5" x14ac:dyDescent="0.25">
      <c r="A28" t="s">
        <v>43</v>
      </c>
      <c r="B28">
        <f>2^15-2</f>
        <v>32766</v>
      </c>
    </row>
    <row r="30" spans="1:5" x14ac:dyDescent="0.25">
      <c r="A30" t="s">
        <v>46</v>
      </c>
      <c r="B30" s="3" t="s">
        <v>48</v>
      </c>
      <c r="C30" s="3" t="s">
        <v>49</v>
      </c>
      <c r="D30" s="3" t="s">
        <v>50</v>
      </c>
      <c r="E30" s="3" t="s">
        <v>50</v>
      </c>
    </row>
    <row r="31" spans="1:5" x14ac:dyDescent="0.25">
      <c r="A31" t="s">
        <v>47</v>
      </c>
      <c r="B31" t="s">
        <v>51</v>
      </c>
      <c r="C31" t="s">
        <v>51</v>
      </c>
      <c r="D31" t="s">
        <v>52</v>
      </c>
      <c r="E31" t="s">
        <v>53</v>
      </c>
    </row>
    <row r="32" spans="1:5" x14ac:dyDescent="0.25">
      <c r="B32" t="s">
        <v>56</v>
      </c>
      <c r="C32" t="s">
        <v>56</v>
      </c>
      <c r="D32" t="s">
        <v>57</v>
      </c>
      <c r="E32" t="s">
        <v>58</v>
      </c>
    </row>
    <row r="33" spans="1:6" x14ac:dyDescent="0.25">
      <c r="A33" t="s">
        <v>59</v>
      </c>
      <c r="B33" t="s">
        <v>54</v>
      </c>
      <c r="C33" t="s">
        <v>49</v>
      </c>
      <c r="D33" t="s">
        <v>55</v>
      </c>
      <c r="E33" t="s">
        <v>53</v>
      </c>
      <c r="F33" t="s">
        <v>39</v>
      </c>
    </row>
    <row r="34" spans="1:6" x14ac:dyDescent="0.25">
      <c r="A34" t="s">
        <v>60</v>
      </c>
      <c r="B34" t="s">
        <v>54</v>
      </c>
      <c r="C34" t="s">
        <v>49</v>
      </c>
      <c r="D34" t="s">
        <v>61</v>
      </c>
      <c r="E34" t="s">
        <v>51</v>
      </c>
      <c r="F34" t="s">
        <v>62</v>
      </c>
    </row>
    <row r="36" spans="1:6" x14ac:dyDescent="0.25">
      <c r="A36" t="s">
        <v>66</v>
      </c>
      <c r="B36" t="s">
        <v>67</v>
      </c>
    </row>
    <row r="37" spans="1:6" x14ac:dyDescent="0.25">
      <c r="A37" t="s">
        <v>22</v>
      </c>
      <c r="B37" t="s">
        <v>69</v>
      </c>
    </row>
    <row r="38" spans="1:6" x14ac:dyDescent="0.25">
      <c r="A38" t="s">
        <v>17</v>
      </c>
      <c r="B38" t="s">
        <v>68</v>
      </c>
    </row>
    <row r="39" spans="1:6" x14ac:dyDescent="0.25">
      <c r="A39" t="s">
        <v>24</v>
      </c>
      <c r="B39" t="s">
        <v>74</v>
      </c>
      <c r="C39" t="s">
        <v>32</v>
      </c>
    </row>
    <row r="40" spans="1:6" x14ac:dyDescent="0.25">
      <c r="A40" t="s">
        <v>27</v>
      </c>
      <c r="B40" t="s">
        <v>75</v>
      </c>
    </row>
    <row r="41" spans="1:6" x14ac:dyDescent="0.25">
      <c r="A41" t="s">
        <v>25</v>
      </c>
      <c r="B41" t="s">
        <v>78</v>
      </c>
    </row>
    <row r="42" spans="1:6" x14ac:dyDescent="0.25">
      <c r="A42" t="s">
        <v>26</v>
      </c>
      <c r="B42" t="s">
        <v>77</v>
      </c>
      <c r="C42" t="s">
        <v>31</v>
      </c>
    </row>
    <row r="43" spans="1:6" x14ac:dyDescent="0.25">
      <c r="A43" t="s">
        <v>43</v>
      </c>
    </row>
    <row r="44" spans="1:6" x14ac:dyDescent="0.25">
      <c r="B44">
        <v>250</v>
      </c>
    </row>
    <row r="45" spans="1:6" x14ac:dyDescent="0.25">
      <c r="A45" t="s">
        <v>70</v>
      </c>
      <c r="B45" s="3" t="s">
        <v>72</v>
      </c>
    </row>
    <row r="46" spans="1:6" x14ac:dyDescent="0.25">
      <c r="A46" t="s">
        <v>71</v>
      </c>
      <c r="B46" t="s">
        <v>73</v>
      </c>
    </row>
    <row r="47" spans="1:6" x14ac:dyDescent="0.25">
      <c r="B47" t="s">
        <v>76</v>
      </c>
    </row>
    <row r="48" spans="1:6" x14ac:dyDescent="0.25">
      <c r="A48" t="s">
        <v>59</v>
      </c>
      <c r="B48" t="s">
        <v>73</v>
      </c>
    </row>
    <row r="49" spans="1:2" x14ac:dyDescent="0.25">
      <c r="A49" t="s">
        <v>60</v>
      </c>
      <c r="B49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847A-004D-445E-9B5E-3C38820F1D7E}">
  <dimension ref="A1:I21"/>
  <sheetViews>
    <sheetView topLeftCell="A16" zoomScale="265" zoomScaleNormal="265" workbookViewId="0">
      <selection activeCell="A6" sqref="A6:A13"/>
    </sheetView>
  </sheetViews>
  <sheetFormatPr defaultRowHeight="15" x14ac:dyDescent="0.25"/>
  <cols>
    <col min="1" max="1" width="20" customWidth="1"/>
    <col min="5" max="5" width="15.140625" customWidth="1"/>
    <col min="8" max="8" width="14.140625" bestFit="1" customWidth="1"/>
  </cols>
  <sheetData>
    <row r="1" spans="1:9" x14ac:dyDescent="0.25">
      <c r="A1" t="s">
        <v>91</v>
      </c>
      <c r="C1" t="s">
        <v>97</v>
      </c>
    </row>
    <row r="2" spans="1:9" x14ac:dyDescent="0.25">
      <c r="A2" t="s">
        <v>79</v>
      </c>
      <c r="C2">
        <v>65534</v>
      </c>
    </row>
    <row r="4" spans="1:9" x14ac:dyDescent="0.25">
      <c r="A4" t="s">
        <v>98</v>
      </c>
      <c r="B4">
        <v>100</v>
      </c>
      <c r="C4" t="s">
        <v>80</v>
      </c>
    </row>
    <row r="5" spans="1:9" x14ac:dyDescent="0.25">
      <c r="A5" t="s">
        <v>99</v>
      </c>
    </row>
    <row r="6" spans="1:9" x14ac:dyDescent="0.25">
      <c r="A6" t="s">
        <v>22</v>
      </c>
      <c r="B6" t="s">
        <v>87</v>
      </c>
    </row>
    <row r="7" spans="1:9" x14ac:dyDescent="0.25">
      <c r="A7" t="s">
        <v>17</v>
      </c>
      <c r="B7" t="s">
        <v>90</v>
      </c>
    </row>
    <row r="8" spans="1:9" x14ac:dyDescent="0.25">
      <c r="A8" t="s">
        <v>100</v>
      </c>
      <c r="E8" t="s">
        <v>101</v>
      </c>
      <c r="H8" t="s">
        <v>105</v>
      </c>
    </row>
    <row r="9" spans="1:9" x14ac:dyDescent="0.25">
      <c r="A9" t="s">
        <v>24</v>
      </c>
      <c r="B9" t="s">
        <v>92</v>
      </c>
      <c r="E9" t="s">
        <v>24</v>
      </c>
      <c r="F9" t="s">
        <v>102</v>
      </c>
      <c r="H9" t="s">
        <v>24</v>
      </c>
      <c r="I9" t="s">
        <v>106</v>
      </c>
    </row>
    <row r="10" spans="1:9" x14ac:dyDescent="0.25">
      <c r="A10" t="s">
        <v>27</v>
      </c>
      <c r="B10" t="s">
        <v>95</v>
      </c>
      <c r="E10" t="s">
        <v>27</v>
      </c>
      <c r="F10" t="s">
        <v>103</v>
      </c>
      <c r="H10" t="s">
        <v>27</v>
      </c>
      <c r="I10" t="s">
        <v>107</v>
      </c>
    </row>
    <row r="11" spans="1:9" x14ac:dyDescent="0.25">
      <c r="A11" t="s">
        <v>25</v>
      </c>
      <c r="B11" t="s">
        <v>96</v>
      </c>
      <c r="E11" t="s">
        <v>25</v>
      </c>
      <c r="F11" t="s">
        <v>104</v>
      </c>
      <c r="H11" t="s">
        <v>25</v>
      </c>
      <c r="I11" t="s">
        <v>109</v>
      </c>
    </row>
    <row r="12" spans="1:9" x14ac:dyDescent="0.25">
      <c r="A12" t="s">
        <v>26</v>
      </c>
      <c r="B12" t="s">
        <v>94</v>
      </c>
      <c r="E12" t="s">
        <v>26</v>
      </c>
      <c r="F12" t="s">
        <v>93</v>
      </c>
      <c r="H12" t="s">
        <v>26</v>
      </c>
      <c r="I12" t="s">
        <v>108</v>
      </c>
    </row>
    <row r="13" spans="1:9" x14ac:dyDescent="0.25">
      <c r="A13" t="s">
        <v>43</v>
      </c>
    </row>
    <row r="15" spans="1:9" x14ac:dyDescent="0.25">
      <c r="A15" t="s">
        <v>81</v>
      </c>
      <c r="E15" t="s">
        <v>88</v>
      </c>
    </row>
    <row r="16" spans="1:9" x14ac:dyDescent="0.25">
      <c r="A16" t="s">
        <v>82</v>
      </c>
      <c r="F16" t="s">
        <v>57</v>
      </c>
    </row>
    <row r="17" spans="1:6" x14ac:dyDescent="0.25">
      <c r="A17" t="s">
        <v>83</v>
      </c>
      <c r="E17" t="s">
        <v>89</v>
      </c>
      <c r="F17" t="s">
        <v>53</v>
      </c>
    </row>
    <row r="18" spans="1:6" x14ac:dyDescent="0.25">
      <c r="A18" t="s">
        <v>84</v>
      </c>
      <c r="F18" t="s">
        <v>61</v>
      </c>
    </row>
    <row r="19" spans="1:6" x14ac:dyDescent="0.25">
      <c r="A19" t="s">
        <v>85</v>
      </c>
    </row>
    <row r="20" spans="1:6" x14ac:dyDescent="0.25">
      <c r="A20" t="s">
        <v>86</v>
      </c>
    </row>
    <row r="21" spans="1:6" x14ac:dyDescent="0.25">
      <c r="A21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E04F-E191-43B3-8F2E-1B4E57744A80}">
  <dimension ref="A1:H51"/>
  <sheetViews>
    <sheetView tabSelected="1" topLeftCell="A42" zoomScale="310" zoomScaleNormal="310" workbookViewId="0">
      <selection activeCell="A48" sqref="A48:A51"/>
    </sheetView>
  </sheetViews>
  <sheetFormatPr defaultRowHeight="15" x14ac:dyDescent="0.25"/>
  <cols>
    <col min="1" max="1" width="15.85546875" customWidth="1"/>
  </cols>
  <sheetData>
    <row r="1" spans="1:7" x14ac:dyDescent="0.25">
      <c r="A1" t="s">
        <v>110</v>
      </c>
      <c r="B1" t="s">
        <v>115</v>
      </c>
      <c r="F1" t="s">
        <v>117</v>
      </c>
    </row>
    <row r="2" spans="1:7" x14ac:dyDescent="0.25">
      <c r="F2" t="s">
        <v>127</v>
      </c>
    </row>
    <row r="3" spans="1:7" x14ac:dyDescent="0.25">
      <c r="A3" t="s">
        <v>111</v>
      </c>
      <c r="F3" t="s">
        <v>128</v>
      </c>
    </row>
    <row r="4" spans="1:7" x14ac:dyDescent="0.25">
      <c r="A4" t="s">
        <v>112</v>
      </c>
      <c r="B4">
        <v>20</v>
      </c>
      <c r="F4" t="s">
        <v>118</v>
      </c>
    </row>
    <row r="5" spans="1:7" x14ac:dyDescent="0.25">
      <c r="A5" t="s">
        <v>113</v>
      </c>
      <c r="B5">
        <v>30</v>
      </c>
    </row>
    <row r="6" spans="1:7" x14ac:dyDescent="0.25">
      <c r="A6" t="s">
        <v>114</v>
      </c>
      <c r="B6">
        <v>5</v>
      </c>
    </row>
    <row r="8" spans="1:7" x14ac:dyDescent="0.25">
      <c r="A8" t="s">
        <v>81</v>
      </c>
      <c r="E8" t="s">
        <v>116</v>
      </c>
    </row>
    <row r="9" spans="1:7" x14ac:dyDescent="0.25">
      <c r="A9" t="s">
        <v>119</v>
      </c>
      <c r="B9" t="s">
        <v>114</v>
      </c>
      <c r="C9">
        <v>5</v>
      </c>
      <c r="F9" t="s">
        <v>125</v>
      </c>
    </row>
    <row r="10" spans="1:7" x14ac:dyDescent="0.25">
      <c r="A10" t="s">
        <v>120</v>
      </c>
      <c r="E10" s="1" t="s">
        <v>129</v>
      </c>
      <c r="F10" t="s">
        <v>53</v>
      </c>
    </row>
    <row r="11" spans="1:7" x14ac:dyDescent="0.25">
      <c r="A11" t="s">
        <v>121</v>
      </c>
      <c r="E11" t="s">
        <v>130</v>
      </c>
      <c r="F11" t="s">
        <v>53</v>
      </c>
      <c r="G11" s="1" t="s">
        <v>135</v>
      </c>
    </row>
    <row r="12" spans="1:7" x14ac:dyDescent="0.25">
      <c r="A12" t="s">
        <v>122</v>
      </c>
      <c r="B12">
        <v>3</v>
      </c>
      <c r="E12" t="s">
        <v>131</v>
      </c>
      <c r="F12" t="s">
        <v>132</v>
      </c>
      <c r="G12" s="1" t="s">
        <v>136</v>
      </c>
    </row>
    <row r="13" spans="1:7" x14ac:dyDescent="0.25">
      <c r="A13" t="s">
        <v>123</v>
      </c>
      <c r="B13">
        <v>29</v>
      </c>
    </row>
    <row r="15" spans="1:7" x14ac:dyDescent="0.25">
      <c r="A15" t="s">
        <v>22</v>
      </c>
      <c r="B15" t="s">
        <v>124</v>
      </c>
    </row>
    <row r="16" spans="1:7" x14ac:dyDescent="0.25">
      <c r="A16" t="s">
        <v>17</v>
      </c>
      <c r="B16" t="s">
        <v>126</v>
      </c>
    </row>
    <row r="17" spans="1:7" x14ac:dyDescent="0.25">
      <c r="A17" t="s">
        <v>24</v>
      </c>
      <c r="B17" t="s">
        <v>137</v>
      </c>
    </row>
    <row r="18" spans="1:7" x14ac:dyDescent="0.25">
      <c r="A18" t="s">
        <v>27</v>
      </c>
      <c r="B18" t="s">
        <v>34</v>
      </c>
    </row>
    <row r="19" spans="1:7" x14ac:dyDescent="0.25">
      <c r="A19" t="s">
        <v>25</v>
      </c>
      <c r="B19" t="s">
        <v>134</v>
      </c>
    </row>
    <row r="20" spans="1:7" x14ac:dyDescent="0.25">
      <c r="A20" t="s">
        <v>26</v>
      </c>
      <c r="B20" t="s">
        <v>133</v>
      </c>
    </row>
    <row r="21" spans="1:7" x14ac:dyDescent="0.25">
      <c r="A21" t="s">
        <v>43</v>
      </c>
      <c r="C21">
        <f>2^3-2</f>
        <v>6</v>
      </c>
    </row>
    <row r="23" spans="1:7" x14ac:dyDescent="0.25">
      <c r="A23" t="s">
        <v>81</v>
      </c>
      <c r="E23" t="s">
        <v>116</v>
      </c>
    </row>
    <row r="24" spans="1:7" x14ac:dyDescent="0.25">
      <c r="A24" t="s">
        <v>138</v>
      </c>
      <c r="B24" t="s">
        <v>112</v>
      </c>
      <c r="C24">
        <v>20</v>
      </c>
      <c r="F24" t="s">
        <v>76</v>
      </c>
    </row>
    <row r="25" spans="1:7" x14ac:dyDescent="0.25">
      <c r="A25" t="s">
        <v>139</v>
      </c>
      <c r="E25" t="s">
        <v>145</v>
      </c>
      <c r="F25" t="s">
        <v>53</v>
      </c>
      <c r="G25" s="1" t="s">
        <v>147</v>
      </c>
    </row>
    <row r="26" spans="1:7" x14ac:dyDescent="0.25">
      <c r="A26" t="s">
        <v>140</v>
      </c>
      <c r="F26" t="s">
        <v>146</v>
      </c>
      <c r="G26" s="1" t="s">
        <v>148</v>
      </c>
    </row>
    <row r="27" spans="1:7" x14ac:dyDescent="0.25">
      <c r="A27" t="s">
        <v>141</v>
      </c>
      <c r="F27">
        <v>1</v>
      </c>
    </row>
    <row r="28" spans="1:7" x14ac:dyDescent="0.25">
      <c r="A28" t="s">
        <v>142</v>
      </c>
      <c r="E28" t="s">
        <v>149</v>
      </c>
    </row>
    <row r="29" spans="1:7" x14ac:dyDescent="0.25">
      <c r="A29" t="s">
        <v>22</v>
      </c>
      <c r="B29" t="s">
        <v>143</v>
      </c>
      <c r="F29" t="s">
        <v>76</v>
      </c>
    </row>
    <row r="30" spans="1:7" x14ac:dyDescent="0.25">
      <c r="A30" t="s">
        <v>17</v>
      </c>
      <c r="B30" t="s">
        <v>144</v>
      </c>
      <c r="F30" t="s">
        <v>150</v>
      </c>
      <c r="G30" s="1" t="s">
        <v>151</v>
      </c>
    </row>
    <row r="31" spans="1:7" x14ac:dyDescent="0.25">
      <c r="A31" t="s">
        <v>24</v>
      </c>
      <c r="B31" t="s">
        <v>157</v>
      </c>
    </row>
    <row r="32" spans="1:7" x14ac:dyDescent="0.25">
      <c r="A32" t="s">
        <v>27</v>
      </c>
      <c r="B32" t="s">
        <v>159</v>
      </c>
      <c r="E32" t="s">
        <v>152</v>
      </c>
    </row>
    <row r="33" spans="1:8" x14ac:dyDescent="0.25">
      <c r="A33" t="s">
        <v>25</v>
      </c>
      <c r="B33" t="s">
        <v>160</v>
      </c>
      <c r="F33" t="s">
        <v>153</v>
      </c>
      <c r="G33" t="s">
        <v>130</v>
      </c>
      <c r="H33" s="1" t="s">
        <v>155</v>
      </c>
    </row>
    <row r="34" spans="1:8" x14ac:dyDescent="0.25">
      <c r="A34" t="s">
        <v>26</v>
      </c>
      <c r="B34" t="s">
        <v>158</v>
      </c>
      <c r="F34" t="s">
        <v>154</v>
      </c>
      <c r="G34" t="s">
        <v>131</v>
      </c>
      <c r="H34" s="1" t="s">
        <v>156</v>
      </c>
    </row>
    <row r="35" spans="1:8" x14ac:dyDescent="0.25">
      <c r="A35" t="s">
        <v>43</v>
      </c>
      <c r="C35">
        <v>30</v>
      </c>
    </row>
    <row r="37" spans="1:8" x14ac:dyDescent="0.25">
      <c r="A37" t="s">
        <v>81</v>
      </c>
    </row>
    <row r="38" spans="1:8" x14ac:dyDescent="0.25">
      <c r="A38" t="s">
        <v>138</v>
      </c>
      <c r="B38" t="s">
        <v>113</v>
      </c>
      <c r="C38">
        <v>30</v>
      </c>
    </row>
    <row r="40" spans="1:8" x14ac:dyDescent="0.25">
      <c r="A40" t="s">
        <v>22</v>
      </c>
      <c r="B40" t="s">
        <v>143</v>
      </c>
    </row>
    <row r="41" spans="1:8" x14ac:dyDescent="0.25">
      <c r="A41" t="s">
        <v>17</v>
      </c>
      <c r="B41" t="s">
        <v>144</v>
      </c>
    </row>
    <row r="42" spans="1:8" x14ac:dyDescent="0.25">
      <c r="A42" t="s">
        <v>24</v>
      </c>
      <c r="B42" t="s">
        <v>165</v>
      </c>
    </row>
    <row r="43" spans="1:8" x14ac:dyDescent="0.25">
      <c r="A43" t="s">
        <v>27</v>
      </c>
      <c r="B43" t="s">
        <v>167</v>
      </c>
    </row>
    <row r="44" spans="1:8" x14ac:dyDescent="0.25">
      <c r="A44" t="s">
        <v>25</v>
      </c>
      <c r="B44" t="s">
        <v>168</v>
      </c>
    </row>
    <row r="45" spans="1:8" x14ac:dyDescent="0.25">
      <c r="A45" t="s">
        <v>26</v>
      </c>
      <c r="B45" t="s">
        <v>166</v>
      </c>
    </row>
    <row r="46" spans="1:8" x14ac:dyDescent="0.25">
      <c r="A46" t="s">
        <v>43</v>
      </c>
      <c r="C46">
        <v>30</v>
      </c>
    </row>
    <row r="48" spans="1:8" x14ac:dyDescent="0.25">
      <c r="A48" t="s">
        <v>161</v>
      </c>
    </row>
    <row r="49" spans="1:1" x14ac:dyDescent="0.25">
      <c r="A49" t="s">
        <v>162</v>
      </c>
    </row>
    <row r="50" spans="1:1" x14ac:dyDescent="0.25">
      <c r="A50" t="s">
        <v>163</v>
      </c>
    </row>
    <row r="51" spans="1:1" x14ac:dyDescent="0.25">
      <c r="A5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conversion</vt:lpstr>
      <vt:lpstr>Netmask</vt:lpstr>
      <vt:lpstr>Wildcard-or-broadcast</vt:lpstr>
      <vt:lpstr>Calc</vt:lpstr>
      <vt:lpstr>Subnetting</vt:lpstr>
      <vt:lpstr>VLSM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Wong</dc:creator>
  <cp:lastModifiedBy>Jason Wong</cp:lastModifiedBy>
  <dcterms:created xsi:type="dcterms:W3CDTF">2026-04-06T07:36:54Z</dcterms:created>
  <dcterms:modified xsi:type="dcterms:W3CDTF">2026-04-07T03:43:10Z</dcterms:modified>
</cp:coreProperties>
</file>